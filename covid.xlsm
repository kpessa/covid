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pess\Dropbox\Git\covid\"/>
    </mc:Choice>
  </mc:AlternateContent>
  <xr:revisionPtr revIDLastSave="0" documentId="13_ncr:1_{88ED1D09-62A0-48C1-9A7C-CA7C6685C930}" xr6:coauthVersionLast="45" xr6:coauthVersionMax="45" xr10:uidLastSave="{00000000-0000-0000-0000-000000000000}"/>
  <bookViews>
    <workbookView xWindow="19275" yWindow="2550" windowWidth="26460" windowHeight="157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72" i="1" l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K78" i="1"/>
  <c r="K79" i="1"/>
  <c r="K80" i="1"/>
  <c r="K81" i="1"/>
  <c r="K82" i="1"/>
  <c r="K83" i="1"/>
  <c r="K84" i="1"/>
  <c r="K85" i="1"/>
  <c r="K86" i="1"/>
  <c r="K87" i="1"/>
  <c r="K88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</calcChain>
</file>

<file path=xl/sharedStrings.xml><?xml version="1.0" encoding="utf-8"?>
<sst xmlns="http://schemas.openxmlformats.org/spreadsheetml/2006/main" count="2" uniqueCount="2">
  <si>
    <t xml:space="preserve"> 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</si>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</sst>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Brevard County Case Count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Case Count</c:v>
          </c:tx>
          <c:spPr>
            <a:ln w="6350" cap="rnd">
              <a:solidFill>
                <a:schemeClr val="accent3">
                  <a:alpha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Sheet1!$G$78:$G$92</c:f>
              <c:numCache>
                <c:formatCode>m/d/yyyy</c:formatCode>
                <c:ptCount val="15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</c:numCache>
            </c:numRef>
          </c:cat>
          <c:val>
            <c:numRef>
              <c:f>Sheet1!$I$78:$I$92</c:f>
              <c:numCache>
                <c:formatCode>General</c:formatCode>
                <c:ptCount val="15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8</c:v>
                </c:pt>
                <c:pt idx="5">
                  <c:v>14</c:v>
                </c:pt>
                <c:pt idx="6">
                  <c:v>4</c:v>
                </c:pt>
                <c:pt idx="7">
                  <c:v>7</c:v>
                </c:pt>
                <c:pt idx="8">
                  <c:v>7</c:v>
                </c:pt>
                <c:pt idx="9">
                  <c:v>13</c:v>
                </c:pt>
                <c:pt idx="10">
                  <c:v>22</c:v>
                </c:pt>
                <c:pt idx="11">
                  <c:v>13</c:v>
                </c:pt>
                <c:pt idx="12">
                  <c:v>22</c:v>
                </c:pt>
                <c:pt idx="13">
                  <c:v>4</c:v>
                </c:pt>
                <c:pt idx="1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EA-44CA-9667-6C6698B7E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9473744"/>
        <c:axId val="1349668176"/>
      </c:lineChart>
      <c:scatterChart>
        <c:scatterStyle val="smoothMarker"/>
        <c:varyColors val="0"/>
        <c:ser>
          <c:idx val="1"/>
          <c:order val="1"/>
          <c:tx>
            <c:v>3-Day Average</c:v>
          </c:tx>
          <c:spPr>
            <a:ln w="12700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Sheet1!$G$78:$G$92</c:f>
              <c:numCache>
                <c:formatCode>m/d/yyyy</c:formatCode>
                <c:ptCount val="15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  <c:pt idx="11">
                  <c:v>43994</c:v>
                </c:pt>
                <c:pt idx="12">
                  <c:v>43995</c:v>
                </c:pt>
                <c:pt idx="13">
                  <c:v>43996</c:v>
                </c:pt>
                <c:pt idx="14">
                  <c:v>43997</c:v>
                </c:pt>
              </c:numCache>
            </c:numRef>
          </c:xVal>
          <c:yVal>
            <c:numRef>
              <c:f>Sheet1!$J$78:$J$92</c:f>
              <c:numCache>
                <c:formatCode>0.0</c:formatCode>
                <c:ptCount val="15"/>
                <c:pt idx="0">
                  <c:v>2.3333333333333335</c:v>
                </c:pt>
                <c:pt idx="1">
                  <c:v>2</c:v>
                </c:pt>
                <c:pt idx="2">
                  <c:v>2.3333333333333335</c:v>
                </c:pt>
                <c:pt idx="3">
                  <c:v>4</c:v>
                </c:pt>
                <c:pt idx="4">
                  <c:v>8.3333333333333339</c:v>
                </c:pt>
                <c:pt idx="5">
                  <c:v>8.6666666666666661</c:v>
                </c:pt>
                <c:pt idx="6">
                  <c:v>8.3333333333333339</c:v>
                </c:pt>
                <c:pt idx="7">
                  <c:v>6</c:v>
                </c:pt>
                <c:pt idx="8">
                  <c:v>9</c:v>
                </c:pt>
                <c:pt idx="9">
                  <c:v>14</c:v>
                </c:pt>
                <c:pt idx="10">
                  <c:v>16</c:v>
                </c:pt>
                <c:pt idx="11">
                  <c:v>19</c:v>
                </c:pt>
                <c:pt idx="12">
                  <c:v>13</c:v>
                </c:pt>
                <c:pt idx="13">
                  <c:v>15.333333333333334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EA-44CA-9667-6C6698B7EB5E}"/>
            </c:ext>
          </c:extLst>
        </c:ser>
        <c:ser>
          <c:idx val="2"/>
          <c:order val="2"/>
          <c:tx>
            <c:v>7-Day Average</c:v>
          </c:tx>
          <c:spPr>
            <a:ln w="22225" cap="rnd">
              <a:solidFill>
                <a:srgbClr val="C00000">
                  <a:alpha val="5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Sheet1!$G$78:$G$88</c:f>
              <c:numCache>
                <c:formatCode>m/d/yyyy</c:formatCode>
                <c:ptCount val="11"/>
                <c:pt idx="0">
                  <c:v>43983</c:v>
                </c:pt>
                <c:pt idx="1">
                  <c:v>43984</c:v>
                </c:pt>
                <c:pt idx="2">
                  <c:v>43985</c:v>
                </c:pt>
                <c:pt idx="3">
                  <c:v>43986</c:v>
                </c:pt>
                <c:pt idx="4">
                  <c:v>43987</c:v>
                </c:pt>
                <c:pt idx="5">
                  <c:v>43988</c:v>
                </c:pt>
                <c:pt idx="6">
                  <c:v>43989</c:v>
                </c:pt>
                <c:pt idx="7">
                  <c:v>43990</c:v>
                </c:pt>
                <c:pt idx="8">
                  <c:v>43991</c:v>
                </c:pt>
                <c:pt idx="9">
                  <c:v>43992</c:v>
                </c:pt>
                <c:pt idx="10">
                  <c:v>43993</c:v>
                </c:pt>
              </c:numCache>
            </c:numRef>
          </c:xVal>
          <c:yVal>
            <c:numRef>
              <c:f>Sheet1!$K$78:$K$88</c:f>
              <c:numCache>
                <c:formatCode>0.0</c:formatCode>
                <c:ptCount val="11"/>
                <c:pt idx="0">
                  <c:v>2.666666666666667</c:v>
                </c:pt>
                <c:pt idx="1">
                  <c:v>3.8</c:v>
                </c:pt>
                <c:pt idx="2">
                  <c:v>4.6111111111111107</c:v>
                </c:pt>
                <c:pt idx="3">
                  <c:v>5.1428571428571432</c:v>
                </c:pt>
                <c:pt idx="4">
                  <c:v>5.666666666666667</c:v>
                </c:pt>
                <c:pt idx="5">
                  <c:v>6.666666666666667</c:v>
                </c:pt>
                <c:pt idx="6">
                  <c:v>8.3333333333333339</c:v>
                </c:pt>
                <c:pt idx="7">
                  <c:v>10.047619047619049</c:v>
                </c:pt>
                <c:pt idx="8">
                  <c:v>11.571428571428571</c:v>
                </c:pt>
                <c:pt idx="9">
                  <c:v>12.190476190476192</c:v>
                </c:pt>
                <c:pt idx="10">
                  <c:v>13.19047619047619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EA-44CA-9667-6C6698B7E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473744"/>
        <c:axId val="1349668176"/>
      </c:scatterChart>
      <c:dateAx>
        <c:axId val="134947374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668176"/>
        <c:crosses val="autoZero"/>
        <c:auto val="1"/>
        <c:lblOffset val="100"/>
        <c:baseTimeUnit val="days"/>
      </c:dateAx>
      <c:valAx>
        <c:axId val="134966817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473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Palm Beach County new case</a:t>
            </a:r>
            <a:r>
              <a:rPr lang="en-US" baseline="0"/>
              <a:t> count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New Cases</c:v>
          </c:tx>
          <c:spPr>
            <a:solidFill>
              <a:schemeClr val="accent3">
                <a:lumMod val="40000"/>
                <a:lumOff val="60000"/>
                <a:alpha val="40000"/>
              </a:schemeClr>
            </a:solidFill>
            <a:ln>
              <a:solidFill>
                <a:schemeClr val="accent3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Sheet1!$A$73:$A$97</c:f>
              <c:numCache>
                <c:formatCode>m/d/yyyy</c:formatCode>
                <c:ptCount val="25"/>
                <c:pt idx="0">
                  <c:v>43973</c:v>
                </c:pt>
                <c:pt idx="1">
                  <c:v>43974</c:v>
                </c:pt>
                <c:pt idx="2">
                  <c:v>43975</c:v>
                </c:pt>
                <c:pt idx="3">
                  <c:v>43976</c:v>
                </c:pt>
                <c:pt idx="4">
                  <c:v>43977</c:v>
                </c:pt>
                <c:pt idx="5">
                  <c:v>43978</c:v>
                </c:pt>
                <c:pt idx="6">
                  <c:v>43979</c:v>
                </c:pt>
                <c:pt idx="7">
                  <c:v>43980</c:v>
                </c:pt>
                <c:pt idx="8">
                  <c:v>43981</c:v>
                </c:pt>
                <c:pt idx="9">
                  <c:v>43982</c:v>
                </c:pt>
                <c:pt idx="10">
                  <c:v>43983</c:v>
                </c:pt>
                <c:pt idx="11">
                  <c:v>43984</c:v>
                </c:pt>
                <c:pt idx="12">
                  <c:v>43985</c:v>
                </c:pt>
                <c:pt idx="13">
                  <c:v>43986</c:v>
                </c:pt>
                <c:pt idx="14">
                  <c:v>43987</c:v>
                </c:pt>
                <c:pt idx="15">
                  <c:v>43988</c:v>
                </c:pt>
                <c:pt idx="16">
                  <c:v>43989</c:v>
                </c:pt>
                <c:pt idx="17">
                  <c:v>43990</c:v>
                </c:pt>
                <c:pt idx="18">
                  <c:v>43991</c:v>
                </c:pt>
                <c:pt idx="19">
                  <c:v>43992</c:v>
                </c:pt>
                <c:pt idx="20">
                  <c:v>43993</c:v>
                </c:pt>
                <c:pt idx="21">
                  <c:v>43994</c:v>
                </c:pt>
                <c:pt idx="22">
                  <c:v>43995</c:v>
                </c:pt>
                <c:pt idx="23">
                  <c:v>43996</c:v>
                </c:pt>
                <c:pt idx="24">
                  <c:v>43997</c:v>
                </c:pt>
              </c:numCache>
            </c:numRef>
          </c:cat>
          <c:val>
            <c:numRef>
              <c:f>Sheet1!$C$73:$C$97</c:f>
              <c:numCache>
                <c:formatCode>General</c:formatCode>
                <c:ptCount val="25"/>
                <c:pt idx="0">
                  <c:v>104</c:v>
                </c:pt>
                <c:pt idx="1">
                  <c:v>68</c:v>
                </c:pt>
                <c:pt idx="2">
                  <c:v>61</c:v>
                </c:pt>
                <c:pt idx="3">
                  <c:v>154</c:v>
                </c:pt>
                <c:pt idx="4">
                  <c:v>74</c:v>
                </c:pt>
                <c:pt idx="5">
                  <c:v>26</c:v>
                </c:pt>
                <c:pt idx="6">
                  <c:v>86</c:v>
                </c:pt>
                <c:pt idx="7">
                  <c:v>224</c:v>
                </c:pt>
                <c:pt idx="8">
                  <c:v>133</c:v>
                </c:pt>
                <c:pt idx="9">
                  <c:v>98</c:v>
                </c:pt>
                <c:pt idx="10">
                  <c:v>139</c:v>
                </c:pt>
                <c:pt idx="11">
                  <c:v>84</c:v>
                </c:pt>
                <c:pt idx="12">
                  <c:v>258</c:v>
                </c:pt>
                <c:pt idx="13">
                  <c:v>211</c:v>
                </c:pt>
                <c:pt idx="14">
                  <c:v>171</c:v>
                </c:pt>
                <c:pt idx="15">
                  <c:v>215</c:v>
                </c:pt>
                <c:pt idx="16">
                  <c:v>156</c:v>
                </c:pt>
                <c:pt idx="17">
                  <c:v>99</c:v>
                </c:pt>
                <c:pt idx="18">
                  <c:v>189</c:v>
                </c:pt>
                <c:pt idx="19">
                  <c:v>160</c:v>
                </c:pt>
                <c:pt idx="20">
                  <c:v>209</c:v>
                </c:pt>
                <c:pt idx="21">
                  <c:v>322</c:v>
                </c:pt>
                <c:pt idx="22">
                  <c:v>233</c:v>
                </c:pt>
                <c:pt idx="23">
                  <c:v>391</c:v>
                </c:pt>
                <c:pt idx="24">
                  <c:v>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6C-4726-AA07-9896C3984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394727328"/>
        <c:axId val="1348461216"/>
      </c:barChart>
      <c:scatterChart>
        <c:scatterStyle val="smoothMarker"/>
        <c:varyColors val="0"/>
        <c:ser>
          <c:idx val="1"/>
          <c:order val="1"/>
          <c:tx>
            <c:v>3-Day MA</c:v>
          </c:tx>
          <c:spPr>
            <a:ln w="28575" cap="rnd">
              <a:solidFill>
                <a:schemeClr val="accent2">
                  <a:alpha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Sheet1!$A$73:$A$97</c:f>
              <c:numCache>
                <c:formatCode>m/d/yyyy</c:formatCode>
                <c:ptCount val="25"/>
                <c:pt idx="0">
                  <c:v>43973</c:v>
                </c:pt>
                <c:pt idx="1">
                  <c:v>43974</c:v>
                </c:pt>
                <c:pt idx="2">
                  <c:v>43975</c:v>
                </c:pt>
                <c:pt idx="3">
                  <c:v>43976</c:v>
                </c:pt>
                <c:pt idx="4">
                  <c:v>43977</c:v>
                </c:pt>
                <c:pt idx="5">
                  <c:v>43978</c:v>
                </c:pt>
                <c:pt idx="6">
                  <c:v>43979</c:v>
                </c:pt>
                <c:pt idx="7">
                  <c:v>43980</c:v>
                </c:pt>
                <c:pt idx="8">
                  <c:v>43981</c:v>
                </c:pt>
                <c:pt idx="9">
                  <c:v>43982</c:v>
                </c:pt>
                <c:pt idx="10">
                  <c:v>43983</c:v>
                </c:pt>
                <c:pt idx="11">
                  <c:v>43984</c:v>
                </c:pt>
                <c:pt idx="12">
                  <c:v>43985</c:v>
                </c:pt>
                <c:pt idx="13">
                  <c:v>43986</c:v>
                </c:pt>
                <c:pt idx="14">
                  <c:v>43987</c:v>
                </c:pt>
                <c:pt idx="15">
                  <c:v>43988</c:v>
                </c:pt>
                <c:pt idx="16">
                  <c:v>43989</c:v>
                </c:pt>
                <c:pt idx="17">
                  <c:v>43990</c:v>
                </c:pt>
                <c:pt idx="18">
                  <c:v>43991</c:v>
                </c:pt>
                <c:pt idx="19">
                  <c:v>43992</c:v>
                </c:pt>
                <c:pt idx="20">
                  <c:v>43993</c:v>
                </c:pt>
                <c:pt idx="21">
                  <c:v>43994</c:v>
                </c:pt>
                <c:pt idx="22">
                  <c:v>43995</c:v>
                </c:pt>
                <c:pt idx="23">
                  <c:v>43996</c:v>
                </c:pt>
                <c:pt idx="24">
                  <c:v>43997</c:v>
                </c:pt>
              </c:numCache>
            </c:numRef>
          </c:xVal>
          <c:yVal>
            <c:numRef>
              <c:f>Sheet1!$D$73:$D$96</c:f>
              <c:numCache>
                <c:formatCode>0.0</c:formatCode>
                <c:ptCount val="24"/>
                <c:pt idx="0">
                  <c:v>121.33333333333333</c:v>
                </c:pt>
                <c:pt idx="1">
                  <c:v>77.666666666666671</c:v>
                </c:pt>
                <c:pt idx="2">
                  <c:v>94.333333333333329</c:v>
                </c:pt>
                <c:pt idx="3">
                  <c:v>96.333333333333329</c:v>
                </c:pt>
                <c:pt idx="4">
                  <c:v>84.666666666666671</c:v>
                </c:pt>
                <c:pt idx="5">
                  <c:v>62</c:v>
                </c:pt>
                <c:pt idx="6">
                  <c:v>112</c:v>
                </c:pt>
                <c:pt idx="7">
                  <c:v>147.66666666666666</c:v>
                </c:pt>
                <c:pt idx="8">
                  <c:v>151.66666666666666</c:v>
                </c:pt>
                <c:pt idx="9">
                  <c:v>123.33333333333333</c:v>
                </c:pt>
                <c:pt idx="10">
                  <c:v>107</c:v>
                </c:pt>
                <c:pt idx="11">
                  <c:v>160.33333333333334</c:v>
                </c:pt>
                <c:pt idx="12">
                  <c:v>184.33333333333334</c:v>
                </c:pt>
                <c:pt idx="13">
                  <c:v>213.33333333333334</c:v>
                </c:pt>
                <c:pt idx="14">
                  <c:v>199</c:v>
                </c:pt>
                <c:pt idx="15">
                  <c:v>180.66666666666666</c:v>
                </c:pt>
                <c:pt idx="16">
                  <c:v>156.66666666666666</c:v>
                </c:pt>
                <c:pt idx="17">
                  <c:v>148</c:v>
                </c:pt>
                <c:pt idx="18">
                  <c:v>149.33333333333334</c:v>
                </c:pt>
                <c:pt idx="19">
                  <c:v>186</c:v>
                </c:pt>
                <c:pt idx="20">
                  <c:v>230.33333333333334</c:v>
                </c:pt>
                <c:pt idx="21">
                  <c:v>254.66666666666666</c:v>
                </c:pt>
                <c:pt idx="22">
                  <c:v>315.33333333333331</c:v>
                </c:pt>
                <c:pt idx="23">
                  <c:v>268.66666666666669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6C-4726-AA07-9896C3984FA1}"/>
            </c:ext>
          </c:extLst>
        </c:ser>
        <c:ser>
          <c:idx val="2"/>
          <c:order val="2"/>
          <c:tx>
            <c:v>7-day MA</c:v>
          </c:tx>
          <c:spPr>
            <a:ln w="28575" cap="rnd">
              <a:solidFill>
                <a:srgbClr val="C00000">
                  <a:alpha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Sheet1!$A$73:$A$97</c:f>
              <c:numCache>
                <c:formatCode>m/d/yyyy</c:formatCode>
                <c:ptCount val="25"/>
                <c:pt idx="0">
                  <c:v>43973</c:v>
                </c:pt>
                <c:pt idx="1">
                  <c:v>43974</c:v>
                </c:pt>
                <c:pt idx="2">
                  <c:v>43975</c:v>
                </c:pt>
                <c:pt idx="3">
                  <c:v>43976</c:v>
                </c:pt>
                <c:pt idx="4">
                  <c:v>43977</c:v>
                </c:pt>
                <c:pt idx="5">
                  <c:v>43978</c:v>
                </c:pt>
                <c:pt idx="6">
                  <c:v>43979</c:v>
                </c:pt>
                <c:pt idx="7">
                  <c:v>43980</c:v>
                </c:pt>
                <c:pt idx="8">
                  <c:v>43981</c:v>
                </c:pt>
                <c:pt idx="9">
                  <c:v>43982</c:v>
                </c:pt>
                <c:pt idx="10">
                  <c:v>43983</c:v>
                </c:pt>
                <c:pt idx="11">
                  <c:v>43984</c:v>
                </c:pt>
                <c:pt idx="12">
                  <c:v>43985</c:v>
                </c:pt>
                <c:pt idx="13">
                  <c:v>43986</c:v>
                </c:pt>
                <c:pt idx="14">
                  <c:v>43987</c:v>
                </c:pt>
                <c:pt idx="15">
                  <c:v>43988</c:v>
                </c:pt>
                <c:pt idx="16">
                  <c:v>43989</c:v>
                </c:pt>
                <c:pt idx="17">
                  <c:v>43990</c:v>
                </c:pt>
                <c:pt idx="18">
                  <c:v>43991</c:v>
                </c:pt>
                <c:pt idx="19">
                  <c:v>43992</c:v>
                </c:pt>
                <c:pt idx="20">
                  <c:v>43993</c:v>
                </c:pt>
                <c:pt idx="21">
                  <c:v>43994</c:v>
                </c:pt>
                <c:pt idx="22">
                  <c:v>43995</c:v>
                </c:pt>
                <c:pt idx="23">
                  <c:v>43996</c:v>
                </c:pt>
                <c:pt idx="24">
                  <c:v>43997</c:v>
                </c:pt>
              </c:numCache>
            </c:numRef>
          </c:xVal>
          <c:yVal>
            <c:numRef>
              <c:f>Sheet1!$E$73:$E$94</c:f>
              <c:numCache>
                <c:formatCode>0.0</c:formatCode>
                <c:ptCount val="22"/>
                <c:pt idx="0">
                  <c:v>99.571428571428569</c:v>
                </c:pt>
                <c:pt idx="1">
                  <c:v>104.28571428571429</c:v>
                </c:pt>
                <c:pt idx="2">
                  <c:v>97</c:v>
                </c:pt>
                <c:pt idx="3">
                  <c:v>81.857142857142861</c:v>
                </c:pt>
                <c:pt idx="4">
                  <c:v>99</c:v>
                </c:pt>
                <c:pt idx="5">
                  <c:v>108.28571428571429</c:v>
                </c:pt>
                <c:pt idx="6">
                  <c:v>113.57142857142857</c:v>
                </c:pt>
                <c:pt idx="7">
                  <c:v>111.42857142857143</c:v>
                </c:pt>
                <c:pt idx="8">
                  <c:v>112.85714285714286</c:v>
                </c:pt>
                <c:pt idx="9">
                  <c:v>146</c:v>
                </c:pt>
                <c:pt idx="10">
                  <c:v>163.85714285714286</c:v>
                </c:pt>
                <c:pt idx="11">
                  <c:v>156.28571428571428</c:v>
                </c:pt>
                <c:pt idx="12">
                  <c:v>168</c:v>
                </c:pt>
                <c:pt idx="13">
                  <c:v>176.28571428571428</c:v>
                </c:pt>
                <c:pt idx="14">
                  <c:v>170.57142857142858</c:v>
                </c:pt>
                <c:pt idx="15">
                  <c:v>185.57142857142858</c:v>
                </c:pt>
                <c:pt idx="16">
                  <c:v>171.57142857142858</c:v>
                </c:pt>
                <c:pt idx="17">
                  <c:v>171.28571428571428</c:v>
                </c:pt>
                <c:pt idx="18">
                  <c:v>192.85714285714286</c:v>
                </c:pt>
                <c:pt idx="19">
                  <c:v>195.42857142857142</c:v>
                </c:pt>
                <c:pt idx="20">
                  <c:v>229</c:v>
                </c:pt>
                <c:pt idx="21">
                  <c:v>240.85714285714286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46C-4726-AA07-9896C3984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4727328"/>
        <c:axId val="1348461216"/>
      </c:scatterChart>
      <c:dateAx>
        <c:axId val="1394727328"/>
        <c:scaling>
          <c:orientation val="minMax"/>
          <c:min val="43983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461216"/>
        <c:crosses val="autoZero"/>
        <c:auto val="1"/>
        <c:lblOffset val="100"/>
        <c:baseTimeUnit val="days"/>
      </c:dateAx>
      <c:valAx>
        <c:axId val="134846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727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74</xdr:row>
      <xdr:rowOff>90487</xdr:rowOff>
    </xdr:from>
    <xdr:to>
      <xdr:col>22</xdr:col>
      <xdr:colOff>400050</xdr:colOff>
      <xdr:row>96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4218DC-0D3C-458F-885D-E858CFB7B1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538162</xdr:colOff>
      <xdr:row>98</xdr:row>
      <xdr:rowOff>114300</xdr:rowOff>
    </xdr:from>
    <xdr:to>
      <xdr:col>14</xdr:col>
      <xdr:colOff>171450</xdr:colOff>
      <xdr:row>115</xdr:row>
      <xdr:rowOff>166687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BA06AF2-20A9-4A3B-BDE5-3178929D9A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0.07885</cdr:x>
      <cdr:y>0.13789</cdr:y>
    </cdr:from>
    <cdr:to>
      <cdr:x>0.59677</cdr:x>
      <cdr:y>0.25608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87BC5BC-50C9-4243-AE68-DA8018851EFA}"/>
            </a:ext>
          </a:extLst>
        </cdr:cNvPr>
        <cdr:cNvSpPr txBox="1"/>
      </cdr:nvSpPr>
      <cdr:spPr>
        <a:xfrm xmlns:a="http://schemas.openxmlformats.org/drawingml/2006/main">
          <a:off x="419099" y="566738"/>
          <a:ext cx="2752726" cy="4857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data</a:t>
          </a:r>
          <a:r>
            <a:rPr lang="en-US" sz="1100" baseline="0"/>
            <a:t> from:</a:t>
          </a:r>
        </a:p>
        <a:p xmlns:a="http://schemas.openxmlformats.org/drawingml/2006/main">
          <a:r>
            <a:rPr lang="en-US" sz="1100" baseline="0"/>
            <a:t> </a:t>
          </a:r>
          <a:r>
            <a:rPr lang="en-US">
              <a:hlinkClick xmlns:r="http://schemas.openxmlformats.org/officeDocument/2006/relationships" r:id=""/>
            </a:rPr>
            <a:t>https://github.com/nytimes/covid-19-data</a:t>
          </a:r>
          <a:r>
            <a:rPr lang="en-US" sz="1100" baseline="0"/>
            <a:t> </a:t>
          </a:r>
          <a:endParaRPr lang="en-US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U104"/>
  <sheetViews>
    <sheetView tabSelected="1" topLeftCell="A86" workbookViewId="0">
      <selection activeCell="U104" sqref="U104"/>
    </sheetView>
  </sheetViews>
  <sheetFormatPr defaultRowHeight="15" x14ac:dyDescent="0.25"/>
  <cols>
    <col min="1" max="1" width="9.7109375" bestFit="1" customWidth="1"/>
    <col min="7" max="7" width="9.7109375" bestFit="1" customWidth="1"/>
  </cols>
  <sheetData>
    <row r="2" spans="1:9" x14ac:dyDescent="0.25">
      <c r="A2" s="1">
        <v>43902</v>
      </c>
      <c r="B2">
        <v>2</v>
      </c>
      <c r="C2">
        <v>2</v>
      </c>
      <c r="G2" s="1">
        <v>43907</v>
      </c>
      <c r="H2">
        <v>1</v>
      </c>
      <c r="I2">
        <v>1</v>
      </c>
    </row>
    <row r="3" spans="1:9" x14ac:dyDescent="0.25">
      <c r="A3" s="1">
        <v>43903</v>
      </c>
      <c r="B3">
        <v>5</v>
      </c>
      <c r="C3">
        <v>3</v>
      </c>
      <c r="G3" s="1">
        <v>43908</v>
      </c>
      <c r="H3">
        <v>2</v>
      </c>
      <c r="I3">
        <v>1</v>
      </c>
    </row>
    <row r="4" spans="1:9" x14ac:dyDescent="0.25">
      <c r="A4" s="1">
        <v>43904</v>
      </c>
      <c r="B4">
        <v>5</v>
      </c>
      <c r="C4">
        <v>0</v>
      </c>
      <c r="G4" s="1">
        <v>43909</v>
      </c>
      <c r="H4">
        <v>3</v>
      </c>
      <c r="I4">
        <v>1</v>
      </c>
    </row>
    <row r="5" spans="1:9" x14ac:dyDescent="0.25">
      <c r="A5" s="1">
        <v>43905</v>
      </c>
      <c r="B5">
        <v>5</v>
      </c>
      <c r="C5">
        <v>0</v>
      </c>
      <c r="G5" s="1">
        <v>43910</v>
      </c>
      <c r="H5">
        <v>4</v>
      </c>
      <c r="I5">
        <v>1</v>
      </c>
    </row>
    <row r="6" spans="1:9" x14ac:dyDescent="0.25">
      <c r="A6" s="1">
        <v>43906</v>
      </c>
      <c r="B6">
        <v>7</v>
      </c>
      <c r="C6">
        <v>2</v>
      </c>
      <c r="G6" s="1">
        <v>43911</v>
      </c>
      <c r="H6">
        <v>5</v>
      </c>
      <c r="I6">
        <v>1</v>
      </c>
    </row>
    <row r="7" spans="1:9" x14ac:dyDescent="0.25">
      <c r="A7" s="1">
        <v>43907</v>
      </c>
      <c r="B7">
        <v>11</v>
      </c>
      <c r="C7">
        <v>4</v>
      </c>
      <c r="G7" s="1">
        <v>43912</v>
      </c>
      <c r="H7">
        <v>7</v>
      </c>
      <c r="I7">
        <v>2</v>
      </c>
    </row>
    <row r="8" spans="1:9" x14ac:dyDescent="0.25">
      <c r="A8" s="1">
        <v>43908</v>
      </c>
      <c r="B8">
        <v>20</v>
      </c>
      <c r="C8">
        <v>9</v>
      </c>
      <c r="G8" s="1">
        <v>43913</v>
      </c>
      <c r="H8">
        <v>7</v>
      </c>
      <c r="I8">
        <v>0</v>
      </c>
    </row>
    <row r="9" spans="1:9" x14ac:dyDescent="0.25">
      <c r="A9" s="1">
        <v>43909</v>
      </c>
      <c r="B9">
        <v>28</v>
      </c>
      <c r="C9">
        <v>8</v>
      </c>
      <c r="G9" s="1">
        <v>43914</v>
      </c>
      <c r="H9">
        <v>9</v>
      </c>
      <c r="I9">
        <v>2</v>
      </c>
    </row>
    <row r="10" spans="1:9" x14ac:dyDescent="0.25">
      <c r="A10" s="1">
        <v>43910</v>
      </c>
      <c r="B10">
        <v>41</v>
      </c>
      <c r="C10">
        <v>13</v>
      </c>
      <c r="G10" s="1">
        <v>43915</v>
      </c>
      <c r="H10">
        <v>12</v>
      </c>
      <c r="I10">
        <v>3</v>
      </c>
    </row>
    <row r="11" spans="1:9" x14ac:dyDescent="0.25">
      <c r="A11" s="1">
        <v>43911</v>
      </c>
      <c r="B11">
        <v>56</v>
      </c>
      <c r="C11">
        <v>15</v>
      </c>
      <c r="G11" s="1">
        <v>43916</v>
      </c>
      <c r="H11">
        <v>14</v>
      </c>
      <c r="I11">
        <v>2</v>
      </c>
    </row>
    <row r="12" spans="1:9" x14ac:dyDescent="0.25">
      <c r="A12" s="1">
        <v>43912</v>
      </c>
      <c r="B12">
        <v>70</v>
      </c>
      <c r="C12">
        <v>14</v>
      </c>
      <c r="G12" s="1">
        <v>43917</v>
      </c>
      <c r="H12">
        <v>20</v>
      </c>
      <c r="I12">
        <v>6</v>
      </c>
    </row>
    <row r="13" spans="1:9" x14ac:dyDescent="0.25">
      <c r="A13" s="1">
        <v>43913</v>
      </c>
      <c r="B13">
        <v>88</v>
      </c>
      <c r="C13">
        <v>18</v>
      </c>
      <c r="G13" s="1">
        <v>43918</v>
      </c>
      <c r="H13">
        <v>27</v>
      </c>
      <c r="I13">
        <v>7</v>
      </c>
    </row>
    <row r="14" spans="1:9" x14ac:dyDescent="0.25">
      <c r="A14" s="1">
        <v>43914</v>
      </c>
      <c r="B14">
        <v>102</v>
      </c>
      <c r="C14">
        <v>14</v>
      </c>
      <c r="G14" s="1">
        <v>43919</v>
      </c>
      <c r="H14">
        <v>30</v>
      </c>
      <c r="I14">
        <v>3</v>
      </c>
    </row>
    <row r="15" spans="1:9" x14ac:dyDescent="0.25">
      <c r="A15" s="1">
        <v>43915</v>
      </c>
      <c r="B15">
        <v>139</v>
      </c>
      <c r="C15">
        <v>37</v>
      </c>
      <c r="G15" s="1">
        <v>43920</v>
      </c>
      <c r="H15">
        <v>32</v>
      </c>
      <c r="I15">
        <v>2</v>
      </c>
    </row>
    <row r="16" spans="1:9" x14ac:dyDescent="0.25">
      <c r="A16" s="1">
        <v>43916</v>
      </c>
      <c r="B16">
        <v>172</v>
      </c>
      <c r="C16">
        <v>33</v>
      </c>
      <c r="G16" s="1">
        <v>43921</v>
      </c>
      <c r="H16">
        <v>37</v>
      </c>
      <c r="I16">
        <v>5</v>
      </c>
    </row>
    <row r="17" spans="1:9" x14ac:dyDescent="0.25">
      <c r="A17" s="1">
        <v>43917</v>
      </c>
      <c r="B17">
        <v>241</v>
      </c>
      <c r="C17">
        <v>69</v>
      </c>
      <c r="G17" s="1">
        <v>43922</v>
      </c>
      <c r="H17">
        <v>47</v>
      </c>
      <c r="I17">
        <v>10</v>
      </c>
    </row>
    <row r="18" spans="1:9" x14ac:dyDescent="0.25">
      <c r="A18" s="1">
        <v>43918</v>
      </c>
      <c r="B18">
        <v>318</v>
      </c>
      <c r="C18">
        <v>77</v>
      </c>
      <c r="G18" s="1">
        <v>43923</v>
      </c>
      <c r="H18">
        <v>49</v>
      </c>
      <c r="I18">
        <v>2</v>
      </c>
    </row>
    <row r="19" spans="1:9" x14ac:dyDescent="0.25">
      <c r="A19" s="1">
        <v>43919</v>
      </c>
      <c r="B19">
        <v>382</v>
      </c>
      <c r="C19">
        <v>64</v>
      </c>
      <c r="G19" s="1">
        <v>43924</v>
      </c>
      <c r="H19">
        <v>62</v>
      </c>
      <c r="I19">
        <v>13</v>
      </c>
    </row>
    <row r="20" spans="1:9" x14ac:dyDescent="0.25">
      <c r="A20" s="1">
        <v>43920</v>
      </c>
      <c r="B20">
        <v>462</v>
      </c>
      <c r="C20">
        <v>80</v>
      </c>
      <c r="G20" s="1">
        <v>43925</v>
      </c>
      <c r="H20">
        <v>72</v>
      </c>
      <c r="I20">
        <v>10</v>
      </c>
    </row>
    <row r="21" spans="1:9" x14ac:dyDescent="0.25">
      <c r="A21" s="1">
        <v>43921</v>
      </c>
      <c r="B21">
        <v>551</v>
      </c>
      <c r="C21">
        <v>89</v>
      </c>
      <c r="G21" s="1">
        <v>43926</v>
      </c>
      <c r="H21">
        <v>79</v>
      </c>
      <c r="I21">
        <v>7</v>
      </c>
    </row>
    <row r="22" spans="1:9" x14ac:dyDescent="0.25">
      <c r="A22" s="1">
        <v>43922</v>
      </c>
      <c r="B22">
        <v>616</v>
      </c>
      <c r="C22">
        <v>65</v>
      </c>
      <c r="G22" s="1">
        <v>43927</v>
      </c>
      <c r="H22">
        <v>92</v>
      </c>
      <c r="I22">
        <v>13</v>
      </c>
    </row>
    <row r="23" spans="1:9" x14ac:dyDescent="0.25">
      <c r="A23" s="1">
        <v>43923</v>
      </c>
      <c r="B23">
        <v>735</v>
      </c>
      <c r="C23">
        <v>119</v>
      </c>
      <c r="G23" s="1">
        <v>43928</v>
      </c>
      <c r="H23">
        <v>98</v>
      </c>
      <c r="I23">
        <v>6</v>
      </c>
    </row>
    <row r="24" spans="1:9" x14ac:dyDescent="0.25">
      <c r="A24" s="1">
        <v>43924</v>
      </c>
      <c r="B24">
        <v>856</v>
      </c>
      <c r="C24">
        <v>121</v>
      </c>
      <c r="G24" s="1">
        <v>43929</v>
      </c>
      <c r="H24">
        <v>105</v>
      </c>
      <c r="I24">
        <v>7</v>
      </c>
    </row>
    <row r="25" spans="1:9" x14ac:dyDescent="0.25">
      <c r="A25" s="1">
        <v>43925</v>
      </c>
      <c r="B25">
        <v>952</v>
      </c>
      <c r="C25">
        <v>96</v>
      </c>
      <c r="G25" s="1">
        <v>43930</v>
      </c>
      <c r="H25">
        <v>111</v>
      </c>
      <c r="I25">
        <v>6</v>
      </c>
    </row>
    <row r="26" spans="1:9" x14ac:dyDescent="0.25">
      <c r="A26" s="1">
        <v>43926</v>
      </c>
      <c r="B26">
        <v>998</v>
      </c>
      <c r="C26">
        <v>46</v>
      </c>
      <c r="G26" s="1">
        <v>43931</v>
      </c>
      <c r="H26">
        <v>121</v>
      </c>
      <c r="I26">
        <v>10</v>
      </c>
    </row>
    <row r="27" spans="1:9" x14ac:dyDescent="0.25">
      <c r="A27" s="1">
        <v>43927</v>
      </c>
      <c r="B27">
        <v>1080</v>
      </c>
      <c r="C27">
        <v>82</v>
      </c>
      <c r="G27" s="1">
        <v>43932</v>
      </c>
      <c r="H27">
        <v>123</v>
      </c>
      <c r="I27">
        <v>2</v>
      </c>
    </row>
    <row r="28" spans="1:9" x14ac:dyDescent="0.25">
      <c r="A28" s="1">
        <v>43928</v>
      </c>
      <c r="B28">
        <v>1157</v>
      </c>
      <c r="C28">
        <v>77</v>
      </c>
      <c r="G28" s="1">
        <v>43933</v>
      </c>
      <c r="H28">
        <v>133</v>
      </c>
      <c r="I28">
        <v>10</v>
      </c>
    </row>
    <row r="29" spans="1:9" x14ac:dyDescent="0.25">
      <c r="A29" s="1">
        <v>43929</v>
      </c>
      <c r="B29">
        <v>1222</v>
      </c>
      <c r="C29">
        <v>65</v>
      </c>
      <c r="G29" s="1">
        <v>43934</v>
      </c>
      <c r="H29">
        <v>148</v>
      </c>
      <c r="I29">
        <v>15</v>
      </c>
    </row>
    <row r="30" spans="1:9" x14ac:dyDescent="0.25">
      <c r="A30" s="1">
        <v>43930</v>
      </c>
      <c r="B30">
        <v>1331</v>
      </c>
      <c r="C30">
        <v>109</v>
      </c>
      <c r="G30" s="1">
        <v>43935</v>
      </c>
      <c r="H30">
        <v>163</v>
      </c>
      <c r="I30">
        <v>15</v>
      </c>
    </row>
    <row r="31" spans="1:9" x14ac:dyDescent="0.25">
      <c r="A31" s="1">
        <v>43931</v>
      </c>
      <c r="B31">
        <v>1429</v>
      </c>
      <c r="C31">
        <v>98</v>
      </c>
      <c r="G31" s="1">
        <v>43936</v>
      </c>
      <c r="H31">
        <v>173</v>
      </c>
      <c r="I31">
        <v>10</v>
      </c>
    </row>
    <row r="32" spans="1:9" x14ac:dyDescent="0.25">
      <c r="A32" s="1">
        <v>43932</v>
      </c>
      <c r="B32">
        <v>1499</v>
      </c>
      <c r="C32">
        <v>70</v>
      </c>
      <c r="G32" s="1">
        <v>43937</v>
      </c>
      <c r="H32">
        <v>192</v>
      </c>
      <c r="I32">
        <v>19</v>
      </c>
    </row>
    <row r="33" spans="1:9" x14ac:dyDescent="0.25">
      <c r="A33" s="1">
        <v>43933</v>
      </c>
      <c r="B33">
        <v>1644</v>
      </c>
      <c r="C33">
        <v>145</v>
      </c>
      <c r="G33" s="1">
        <v>43938</v>
      </c>
      <c r="H33">
        <v>205</v>
      </c>
      <c r="I33">
        <v>13</v>
      </c>
    </row>
    <row r="34" spans="1:9" x14ac:dyDescent="0.25">
      <c r="A34" s="1">
        <v>43934</v>
      </c>
      <c r="B34">
        <v>1702</v>
      </c>
      <c r="C34">
        <v>58</v>
      </c>
      <c r="G34" s="1">
        <v>43939</v>
      </c>
      <c r="H34">
        <v>210</v>
      </c>
      <c r="I34">
        <v>5</v>
      </c>
    </row>
    <row r="35" spans="1:9" x14ac:dyDescent="0.25">
      <c r="A35" s="1">
        <v>43935</v>
      </c>
      <c r="B35">
        <v>1738</v>
      </c>
      <c r="C35">
        <v>36</v>
      </c>
      <c r="G35" s="1">
        <v>43940</v>
      </c>
      <c r="H35">
        <v>215</v>
      </c>
      <c r="I35">
        <v>5</v>
      </c>
    </row>
    <row r="36" spans="1:9" x14ac:dyDescent="0.25">
      <c r="A36" s="1">
        <v>43936</v>
      </c>
      <c r="B36">
        <v>1816</v>
      </c>
      <c r="C36">
        <v>78</v>
      </c>
      <c r="G36" s="1">
        <v>43941</v>
      </c>
      <c r="H36">
        <v>218</v>
      </c>
      <c r="I36">
        <v>3</v>
      </c>
    </row>
    <row r="37" spans="1:9" x14ac:dyDescent="0.25">
      <c r="A37" s="1">
        <v>43937</v>
      </c>
      <c r="B37">
        <v>1865</v>
      </c>
      <c r="C37">
        <v>49</v>
      </c>
      <c r="G37" s="1">
        <v>43942</v>
      </c>
      <c r="H37">
        <v>224</v>
      </c>
      <c r="I37">
        <v>6</v>
      </c>
    </row>
    <row r="38" spans="1:9" x14ac:dyDescent="0.25">
      <c r="A38" s="1">
        <v>43938</v>
      </c>
      <c r="B38">
        <v>2086</v>
      </c>
      <c r="C38">
        <v>221</v>
      </c>
      <c r="G38" s="1">
        <v>43943</v>
      </c>
      <c r="H38">
        <v>225</v>
      </c>
      <c r="I38">
        <v>1</v>
      </c>
    </row>
    <row r="39" spans="1:9" x14ac:dyDescent="0.25">
      <c r="A39" s="1">
        <v>43939</v>
      </c>
      <c r="B39">
        <v>2136</v>
      </c>
      <c r="C39">
        <v>50</v>
      </c>
      <c r="G39" s="1">
        <v>43944</v>
      </c>
      <c r="H39">
        <v>235</v>
      </c>
      <c r="I39">
        <v>10</v>
      </c>
    </row>
    <row r="40" spans="1:9" x14ac:dyDescent="0.25">
      <c r="A40" s="1">
        <v>43940</v>
      </c>
      <c r="B40">
        <v>2168</v>
      </c>
      <c r="C40">
        <v>32</v>
      </c>
      <c r="G40" s="1">
        <v>43945</v>
      </c>
      <c r="H40">
        <v>247</v>
      </c>
      <c r="I40">
        <v>12</v>
      </c>
    </row>
    <row r="41" spans="1:9" x14ac:dyDescent="0.25">
      <c r="A41" s="1">
        <v>43941</v>
      </c>
      <c r="B41">
        <v>2258</v>
      </c>
      <c r="C41">
        <v>90</v>
      </c>
      <c r="G41" s="1">
        <v>43946</v>
      </c>
      <c r="H41">
        <v>250</v>
      </c>
      <c r="I41">
        <v>3</v>
      </c>
    </row>
    <row r="42" spans="1:9" x14ac:dyDescent="0.25">
      <c r="A42" s="1">
        <v>43942</v>
      </c>
      <c r="B42">
        <v>2318</v>
      </c>
      <c r="C42">
        <v>60</v>
      </c>
      <c r="G42" s="1">
        <v>43947</v>
      </c>
      <c r="H42">
        <v>252</v>
      </c>
      <c r="I42">
        <v>2</v>
      </c>
    </row>
    <row r="43" spans="1:9" x14ac:dyDescent="0.25">
      <c r="A43" s="1">
        <v>43943</v>
      </c>
      <c r="B43">
        <v>2401</v>
      </c>
      <c r="C43">
        <v>83</v>
      </c>
      <c r="G43" s="1">
        <v>43948</v>
      </c>
      <c r="H43">
        <v>266</v>
      </c>
      <c r="I43">
        <v>14</v>
      </c>
    </row>
    <row r="44" spans="1:9" x14ac:dyDescent="0.25">
      <c r="A44" s="1">
        <v>43944</v>
      </c>
      <c r="B44">
        <v>2552</v>
      </c>
      <c r="C44">
        <v>151</v>
      </c>
      <c r="G44" s="1">
        <v>43949</v>
      </c>
      <c r="H44">
        <v>268</v>
      </c>
      <c r="I44">
        <v>2</v>
      </c>
    </row>
    <row r="45" spans="1:9" x14ac:dyDescent="0.25">
      <c r="A45" s="1">
        <v>43945</v>
      </c>
      <c r="B45">
        <v>2598</v>
      </c>
      <c r="C45">
        <v>46</v>
      </c>
      <c r="G45" s="1">
        <v>43950</v>
      </c>
      <c r="H45">
        <v>270</v>
      </c>
      <c r="I45">
        <v>2</v>
      </c>
    </row>
    <row r="46" spans="1:9" x14ac:dyDescent="0.25">
      <c r="A46" s="1">
        <v>43946</v>
      </c>
      <c r="B46">
        <v>2612</v>
      </c>
      <c r="C46">
        <v>14</v>
      </c>
      <c r="G46" s="1">
        <v>43951</v>
      </c>
      <c r="H46">
        <v>285</v>
      </c>
      <c r="I46">
        <v>15</v>
      </c>
    </row>
    <row r="47" spans="1:9" x14ac:dyDescent="0.25">
      <c r="A47" s="1">
        <v>43947</v>
      </c>
      <c r="B47">
        <v>2695</v>
      </c>
      <c r="C47">
        <v>83</v>
      </c>
      <c r="G47" s="1">
        <v>43952</v>
      </c>
      <c r="H47">
        <v>289</v>
      </c>
      <c r="I47">
        <v>4</v>
      </c>
    </row>
    <row r="48" spans="1:9" x14ac:dyDescent="0.25">
      <c r="A48" s="1">
        <v>43948</v>
      </c>
      <c r="B48">
        <v>2761</v>
      </c>
      <c r="C48">
        <v>66</v>
      </c>
      <c r="G48" s="1">
        <v>43953</v>
      </c>
      <c r="H48">
        <v>297</v>
      </c>
      <c r="I48">
        <v>8</v>
      </c>
    </row>
    <row r="49" spans="1:9" x14ac:dyDescent="0.25">
      <c r="A49" s="1">
        <v>43949</v>
      </c>
      <c r="B49">
        <v>2875</v>
      </c>
      <c r="C49">
        <v>114</v>
      </c>
      <c r="G49" s="1">
        <v>43954</v>
      </c>
      <c r="H49">
        <v>308</v>
      </c>
      <c r="I49">
        <v>11</v>
      </c>
    </row>
    <row r="50" spans="1:9" x14ac:dyDescent="0.25">
      <c r="A50" s="1">
        <v>43950</v>
      </c>
      <c r="B50">
        <v>2909</v>
      </c>
      <c r="C50">
        <v>34</v>
      </c>
      <c r="G50" s="1">
        <v>43955</v>
      </c>
      <c r="H50">
        <v>310</v>
      </c>
      <c r="I50">
        <v>2</v>
      </c>
    </row>
    <row r="51" spans="1:9" x14ac:dyDescent="0.25">
      <c r="A51" s="1">
        <v>43951</v>
      </c>
      <c r="B51">
        <v>2961</v>
      </c>
      <c r="C51">
        <v>52</v>
      </c>
      <c r="G51" s="1">
        <v>43956</v>
      </c>
      <c r="H51">
        <v>319</v>
      </c>
      <c r="I51">
        <v>9</v>
      </c>
    </row>
    <row r="52" spans="1:9" x14ac:dyDescent="0.25">
      <c r="A52" s="1">
        <v>43952</v>
      </c>
      <c r="B52">
        <v>3039</v>
      </c>
      <c r="C52">
        <v>78</v>
      </c>
      <c r="G52" s="1">
        <v>43957</v>
      </c>
      <c r="H52">
        <v>320</v>
      </c>
      <c r="I52">
        <v>1</v>
      </c>
    </row>
    <row r="53" spans="1:9" x14ac:dyDescent="0.25">
      <c r="A53" s="1">
        <v>43953</v>
      </c>
      <c r="B53">
        <v>3078</v>
      </c>
      <c r="C53">
        <v>39</v>
      </c>
      <c r="G53" s="1">
        <v>43958</v>
      </c>
      <c r="H53">
        <v>325</v>
      </c>
      <c r="I53">
        <v>5</v>
      </c>
    </row>
    <row r="54" spans="1:9" x14ac:dyDescent="0.25">
      <c r="A54" s="1">
        <v>43954</v>
      </c>
      <c r="B54">
        <v>3128</v>
      </c>
      <c r="C54">
        <v>50</v>
      </c>
      <c r="G54" s="1">
        <v>43959</v>
      </c>
      <c r="H54">
        <v>326</v>
      </c>
      <c r="I54">
        <v>1</v>
      </c>
    </row>
    <row r="55" spans="1:9" x14ac:dyDescent="0.25">
      <c r="A55" s="1">
        <v>43955</v>
      </c>
      <c r="B55">
        <v>3309</v>
      </c>
      <c r="C55">
        <v>181</v>
      </c>
      <c r="G55" s="1">
        <v>43960</v>
      </c>
      <c r="H55">
        <v>328</v>
      </c>
      <c r="I55">
        <v>2</v>
      </c>
    </row>
    <row r="56" spans="1:9" x14ac:dyDescent="0.25">
      <c r="A56" s="1">
        <v>43956</v>
      </c>
      <c r="B56">
        <v>3388</v>
      </c>
      <c r="C56">
        <v>79</v>
      </c>
      <c r="G56" s="1">
        <v>43961</v>
      </c>
      <c r="H56">
        <v>328</v>
      </c>
      <c r="I56">
        <v>0</v>
      </c>
    </row>
    <row r="57" spans="1:9" x14ac:dyDescent="0.25">
      <c r="A57" s="1">
        <v>43957</v>
      </c>
      <c r="B57">
        <v>3478</v>
      </c>
      <c r="C57">
        <v>90</v>
      </c>
      <c r="G57" s="1">
        <v>43962</v>
      </c>
      <c r="H57">
        <v>330</v>
      </c>
      <c r="I57">
        <v>2</v>
      </c>
    </row>
    <row r="58" spans="1:9" x14ac:dyDescent="0.25">
      <c r="A58" s="1">
        <v>43958</v>
      </c>
      <c r="B58">
        <v>3585</v>
      </c>
      <c r="C58">
        <v>107</v>
      </c>
      <c r="G58" s="1">
        <v>43963</v>
      </c>
      <c r="H58">
        <v>346</v>
      </c>
      <c r="I58">
        <v>16</v>
      </c>
    </row>
    <row r="59" spans="1:9" x14ac:dyDescent="0.25">
      <c r="A59" s="1">
        <v>43959</v>
      </c>
      <c r="B59">
        <v>3613</v>
      </c>
      <c r="C59">
        <v>28</v>
      </c>
      <c r="G59" s="1">
        <v>43964</v>
      </c>
      <c r="H59">
        <v>344</v>
      </c>
      <c r="I59">
        <v>-2</v>
      </c>
    </row>
    <row r="60" spans="1:9" x14ac:dyDescent="0.25">
      <c r="A60" s="1">
        <v>43960</v>
      </c>
      <c r="B60">
        <v>3796</v>
      </c>
      <c r="C60">
        <v>183</v>
      </c>
      <c r="G60" s="1">
        <v>43965</v>
      </c>
      <c r="H60">
        <v>348</v>
      </c>
      <c r="I60">
        <v>4</v>
      </c>
    </row>
    <row r="61" spans="1:9" x14ac:dyDescent="0.25">
      <c r="A61" s="1">
        <v>43961</v>
      </c>
      <c r="B61">
        <v>3868</v>
      </c>
      <c r="C61">
        <v>72</v>
      </c>
      <c r="G61" s="1">
        <v>43966</v>
      </c>
      <c r="H61">
        <v>356</v>
      </c>
      <c r="I61">
        <v>8</v>
      </c>
    </row>
    <row r="62" spans="1:9" x14ac:dyDescent="0.25">
      <c r="A62" s="1">
        <v>43962</v>
      </c>
      <c r="B62">
        <v>3887</v>
      </c>
      <c r="C62">
        <v>19</v>
      </c>
      <c r="D62" s="2">
        <f t="shared" ref="D62:D95" si="0">AVERAGE(C61:C63)</f>
        <v>98.333333333333329</v>
      </c>
      <c r="G62" s="1">
        <v>43967</v>
      </c>
      <c r="H62">
        <v>359</v>
      </c>
      <c r="I62">
        <v>3</v>
      </c>
    </row>
    <row r="63" spans="1:9" x14ac:dyDescent="0.25">
      <c r="A63" s="1">
        <v>43963</v>
      </c>
      <c r="B63">
        <v>4091</v>
      </c>
      <c r="C63">
        <v>204</v>
      </c>
      <c r="D63" s="2">
        <f t="shared" si="0"/>
        <v>102</v>
      </c>
      <c r="G63" s="1">
        <v>43968</v>
      </c>
      <c r="H63">
        <v>365</v>
      </c>
      <c r="I63">
        <v>6</v>
      </c>
    </row>
    <row r="64" spans="1:9" x14ac:dyDescent="0.25">
      <c r="A64" s="1">
        <v>43964</v>
      </c>
      <c r="B64">
        <v>4174</v>
      </c>
      <c r="C64">
        <v>83</v>
      </c>
      <c r="D64" s="2">
        <f t="shared" si="0"/>
        <v>129.66666666666666</v>
      </c>
      <c r="G64" s="1">
        <v>43969</v>
      </c>
      <c r="H64">
        <v>367</v>
      </c>
      <c r="I64">
        <v>2</v>
      </c>
    </row>
    <row r="65" spans="1:11" x14ac:dyDescent="0.25">
      <c r="A65" s="1">
        <v>43965</v>
      </c>
      <c r="B65">
        <v>4276</v>
      </c>
      <c r="C65">
        <v>102</v>
      </c>
      <c r="D65" s="2">
        <f t="shared" si="0"/>
        <v>99.333333333333329</v>
      </c>
      <c r="G65" s="1">
        <v>43970</v>
      </c>
      <c r="H65">
        <v>371</v>
      </c>
      <c r="I65">
        <v>4</v>
      </c>
    </row>
    <row r="66" spans="1:11" x14ac:dyDescent="0.25">
      <c r="A66" s="1">
        <v>43966</v>
      </c>
      <c r="B66">
        <v>4389</v>
      </c>
      <c r="C66">
        <v>113</v>
      </c>
      <c r="D66" s="2">
        <f t="shared" si="0"/>
        <v>88</v>
      </c>
      <c r="G66" s="1">
        <v>43971</v>
      </c>
      <c r="H66">
        <v>372</v>
      </c>
      <c r="I66">
        <v>1</v>
      </c>
    </row>
    <row r="67" spans="1:11" x14ac:dyDescent="0.25">
      <c r="A67" s="1">
        <v>43967</v>
      </c>
      <c r="B67">
        <v>4438</v>
      </c>
      <c r="C67">
        <v>49</v>
      </c>
      <c r="D67" s="2">
        <f t="shared" si="0"/>
        <v>82</v>
      </c>
      <c r="G67" s="1">
        <v>43972</v>
      </c>
      <c r="H67">
        <v>376</v>
      </c>
      <c r="I67">
        <v>4</v>
      </c>
    </row>
    <row r="68" spans="1:11" x14ac:dyDescent="0.25">
      <c r="A68" s="1">
        <v>43968</v>
      </c>
      <c r="B68">
        <v>4522</v>
      </c>
      <c r="C68">
        <v>84</v>
      </c>
      <c r="D68" s="2">
        <f t="shared" si="0"/>
        <v>89</v>
      </c>
      <c r="G68" s="1">
        <v>43973</v>
      </c>
      <c r="H68">
        <v>380</v>
      </c>
      <c r="I68">
        <v>4</v>
      </c>
    </row>
    <row r="69" spans="1:11" x14ac:dyDescent="0.25">
      <c r="A69" s="1">
        <v>43969</v>
      </c>
      <c r="B69">
        <v>4656</v>
      </c>
      <c r="C69">
        <v>134</v>
      </c>
      <c r="D69" s="2">
        <f t="shared" si="0"/>
        <v>86.333333333333329</v>
      </c>
      <c r="G69" s="1">
        <v>43974</v>
      </c>
      <c r="H69">
        <v>389</v>
      </c>
      <c r="I69">
        <v>9</v>
      </c>
    </row>
    <row r="70" spans="1:11" x14ac:dyDescent="0.25">
      <c r="A70" s="1">
        <v>43970</v>
      </c>
      <c r="B70">
        <v>4697</v>
      </c>
      <c r="C70">
        <v>41</v>
      </c>
      <c r="D70" s="2">
        <f t="shared" si="0"/>
        <v>84</v>
      </c>
      <c r="G70" s="1">
        <v>43975</v>
      </c>
      <c r="H70">
        <v>394</v>
      </c>
      <c r="I70">
        <v>5</v>
      </c>
    </row>
    <row r="71" spans="1:11" x14ac:dyDescent="0.25">
      <c r="A71" s="1">
        <v>43971</v>
      </c>
      <c r="B71">
        <v>4774</v>
      </c>
      <c r="C71">
        <v>77</v>
      </c>
      <c r="D71" s="2">
        <f t="shared" si="0"/>
        <v>103.33333333333333</v>
      </c>
      <c r="G71" s="1">
        <v>43976</v>
      </c>
      <c r="H71">
        <v>398</v>
      </c>
      <c r="I71">
        <v>4</v>
      </c>
    </row>
    <row r="72" spans="1:11" x14ac:dyDescent="0.25">
      <c r="A72" s="1">
        <v>43972</v>
      </c>
      <c r="B72">
        <v>4966</v>
      </c>
      <c r="C72">
        <v>192</v>
      </c>
      <c r="D72" s="2">
        <f t="shared" si="0"/>
        <v>124.33333333333333</v>
      </c>
      <c r="E72" s="2">
        <f t="shared" ref="E72:E93" si="1">AVERAGE(C69:C75)</f>
        <v>96.714285714285708</v>
      </c>
      <c r="G72" s="1">
        <v>43977</v>
      </c>
      <c r="H72">
        <v>399</v>
      </c>
      <c r="I72">
        <v>1</v>
      </c>
    </row>
    <row r="73" spans="1:11" x14ac:dyDescent="0.25">
      <c r="A73" s="1">
        <v>43973</v>
      </c>
      <c r="B73">
        <v>5070</v>
      </c>
      <c r="C73">
        <v>104</v>
      </c>
      <c r="D73" s="2">
        <f t="shared" si="0"/>
        <v>121.33333333333333</v>
      </c>
      <c r="E73" s="2">
        <f t="shared" si="1"/>
        <v>99.571428571428569</v>
      </c>
      <c r="G73" s="1">
        <v>43978</v>
      </c>
      <c r="H73">
        <v>399</v>
      </c>
      <c r="I73">
        <v>0</v>
      </c>
    </row>
    <row r="74" spans="1:11" x14ac:dyDescent="0.25">
      <c r="A74" s="1">
        <v>43974</v>
      </c>
      <c r="B74">
        <v>5138</v>
      </c>
      <c r="C74">
        <v>68</v>
      </c>
      <c r="D74" s="2">
        <f t="shared" si="0"/>
        <v>77.666666666666671</v>
      </c>
      <c r="E74" s="2">
        <f t="shared" si="1"/>
        <v>104.28571428571429</v>
      </c>
      <c r="G74" s="1">
        <v>43979</v>
      </c>
      <c r="H74">
        <v>401</v>
      </c>
      <c r="I74">
        <v>2</v>
      </c>
    </row>
    <row r="75" spans="1:11" x14ac:dyDescent="0.25">
      <c r="A75" s="1">
        <v>43975</v>
      </c>
      <c r="B75">
        <v>5199</v>
      </c>
      <c r="C75">
        <v>61</v>
      </c>
      <c r="D75" s="2">
        <f t="shared" si="0"/>
        <v>94.333333333333329</v>
      </c>
      <c r="E75" s="2">
        <f t="shared" si="1"/>
        <v>97</v>
      </c>
      <c r="G75" s="1">
        <v>43980</v>
      </c>
      <c r="H75">
        <v>409</v>
      </c>
      <c r="I75">
        <v>8</v>
      </c>
    </row>
    <row r="76" spans="1:11" x14ac:dyDescent="0.25">
      <c r="A76" s="1">
        <v>43976</v>
      </c>
      <c r="B76">
        <v>5353</v>
      </c>
      <c r="C76">
        <v>154</v>
      </c>
      <c r="D76" s="2">
        <f t="shared" si="0"/>
        <v>96.333333333333329</v>
      </c>
      <c r="E76" s="2">
        <f t="shared" si="1"/>
        <v>81.857142857142861</v>
      </c>
      <c r="G76" s="1">
        <v>43981</v>
      </c>
      <c r="H76">
        <v>420</v>
      </c>
      <c r="I76">
        <v>11</v>
      </c>
    </row>
    <row r="77" spans="1:11" x14ac:dyDescent="0.25">
      <c r="A77" s="1">
        <v>43977</v>
      </c>
      <c r="B77">
        <v>5427</v>
      </c>
      <c r="C77">
        <v>74</v>
      </c>
      <c r="D77" s="2">
        <f t="shared" si="0"/>
        <v>84.666666666666671</v>
      </c>
      <c r="E77" s="2">
        <f t="shared" si="1"/>
        <v>99</v>
      </c>
      <c r="G77" s="1">
        <v>43982</v>
      </c>
      <c r="H77">
        <v>422</v>
      </c>
      <c r="I77">
        <v>2</v>
      </c>
    </row>
    <row r="78" spans="1:11" x14ac:dyDescent="0.25">
      <c r="A78" s="1">
        <v>43978</v>
      </c>
      <c r="B78">
        <v>5453</v>
      </c>
      <c r="C78">
        <v>26</v>
      </c>
      <c r="D78" s="2">
        <f t="shared" si="0"/>
        <v>62</v>
      </c>
      <c r="E78" s="2">
        <f t="shared" si="1"/>
        <v>108.28571428571429</v>
      </c>
      <c r="G78" s="1">
        <v>43983</v>
      </c>
      <c r="H78">
        <v>424</v>
      </c>
      <c r="I78">
        <v>2</v>
      </c>
      <c r="J78" s="2">
        <f t="shared" ref="J78:J91" si="2">AVERAGE(I77:I79)</f>
        <v>2.3333333333333335</v>
      </c>
      <c r="K78" s="2">
        <f t="shared" ref="K78:K88" si="3">AVERAGE(J75:J81)</f>
        <v>2.666666666666667</v>
      </c>
    </row>
    <row r="79" spans="1:11" x14ac:dyDescent="0.25">
      <c r="A79" s="1">
        <v>43979</v>
      </c>
      <c r="B79">
        <v>5539</v>
      </c>
      <c r="C79">
        <v>86</v>
      </c>
      <c r="D79" s="2">
        <f t="shared" si="0"/>
        <v>112</v>
      </c>
      <c r="E79" s="2">
        <f t="shared" si="1"/>
        <v>113.57142857142857</v>
      </c>
      <c r="G79" s="1">
        <v>43984</v>
      </c>
      <c r="H79">
        <v>427</v>
      </c>
      <c r="I79">
        <v>3</v>
      </c>
      <c r="J79" s="2">
        <f t="shared" si="2"/>
        <v>2</v>
      </c>
      <c r="K79" s="2">
        <f t="shared" si="3"/>
        <v>3.8</v>
      </c>
    </row>
    <row r="80" spans="1:11" x14ac:dyDescent="0.25">
      <c r="A80" s="1">
        <v>43980</v>
      </c>
      <c r="B80">
        <v>5763</v>
      </c>
      <c r="C80">
        <v>224</v>
      </c>
      <c r="D80" s="2">
        <f t="shared" si="0"/>
        <v>147.66666666666666</v>
      </c>
      <c r="E80" s="2">
        <f t="shared" si="1"/>
        <v>111.42857142857143</v>
      </c>
      <c r="G80" s="1">
        <v>43985</v>
      </c>
      <c r="H80">
        <v>428</v>
      </c>
      <c r="I80">
        <v>1</v>
      </c>
      <c r="J80" s="2">
        <f t="shared" si="2"/>
        <v>2.3333333333333335</v>
      </c>
      <c r="K80" s="2">
        <f t="shared" si="3"/>
        <v>4.6111111111111107</v>
      </c>
    </row>
    <row r="81" spans="1:11" x14ac:dyDescent="0.25">
      <c r="A81" s="1">
        <v>43981</v>
      </c>
      <c r="B81">
        <v>5896</v>
      </c>
      <c r="C81">
        <v>133</v>
      </c>
      <c r="D81" s="2">
        <f t="shared" si="0"/>
        <v>151.66666666666666</v>
      </c>
      <c r="E81" s="2">
        <f t="shared" si="1"/>
        <v>112.85714285714286</v>
      </c>
      <c r="G81" s="1">
        <v>43986</v>
      </c>
      <c r="H81">
        <v>431</v>
      </c>
      <c r="I81">
        <v>3</v>
      </c>
      <c r="J81" s="2">
        <f t="shared" si="2"/>
        <v>4</v>
      </c>
      <c r="K81" s="2">
        <f t="shared" si="3"/>
        <v>5.1428571428571432</v>
      </c>
    </row>
    <row r="82" spans="1:11" x14ac:dyDescent="0.25">
      <c r="A82" s="1">
        <v>43982</v>
      </c>
      <c r="B82">
        <v>5994</v>
      </c>
      <c r="C82">
        <v>98</v>
      </c>
      <c r="D82" s="2">
        <f t="shared" si="0"/>
        <v>123.33333333333333</v>
      </c>
      <c r="E82" s="2">
        <f t="shared" si="1"/>
        <v>146</v>
      </c>
      <c r="G82" s="1">
        <v>43987</v>
      </c>
      <c r="H82">
        <v>439</v>
      </c>
      <c r="I82">
        <v>8</v>
      </c>
      <c r="J82" s="2">
        <f t="shared" si="2"/>
        <v>8.3333333333333339</v>
      </c>
      <c r="K82" s="2">
        <f t="shared" si="3"/>
        <v>5.666666666666667</v>
      </c>
    </row>
    <row r="83" spans="1:11" x14ac:dyDescent="0.25">
      <c r="A83" s="1">
        <v>43983</v>
      </c>
      <c r="B83">
        <v>6133</v>
      </c>
      <c r="C83">
        <v>139</v>
      </c>
      <c r="D83" s="2">
        <f t="shared" si="0"/>
        <v>107</v>
      </c>
      <c r="E83" s="2">
        <f t="shared" si="1"/>
        <v>163.85714285714286</v>
      </c>
      <c r="G83" s="1">
        <v>43988</v>
      </c>
      <c r="H83">
        <v>453</v>
      </c>
      <c r="I83">
        <v>14</v>
      </c>
      <c r="J83" s="2">
        <f t="shared" si="2"/>
        <v>8.6666666666666661</v>
      </c>
      <c r="K83" s="2">
        <f t="shared" si="3"/>
        <v>6.666666666666667</v>
      </c>
    </row>
    <row r="84" spans="1:11" x14ac:dyDescent="0.25">
      <c r="A84" s="1">
        <v>43984</v>
      </c>
      <c r="B84">
        <v>6217</v>
      </c>
      <c r="C84">
        <v>84</v>
      </c>
      <c r="D84" s="2">
        <f t="shared" si="0"/>
        <v>160.33333333333334</v>
      </c>
      <c r="E84" s="2">
        <f t="shared" si="1"/>
        <v>156.28571428571428</v>
      </c>
      <c r="G84" s="1">
        <v>43989</v>
      </c>
      <c r="H84">
        <v>457</v>
      </c>
      <c r="I84">
        <v>4</v>
      </c>
      <c r="J84" s="2">
        <f t="shared" si="2"/>
        <v>8.3333333333333339</v>
      </c>
      <c r="K84" s="2">
        <f t="shared" si="3"/>
        <v>8.3333333333333339</v>
      </c>
    </row>
    <row r="85" spans="1:11" x14ac:dyDescent="0.25">
      <c r="A85" s="1">
        <v>43985</v>
      </c>
      <c r="B85">
        <v>6475</v>
      </c>
      <c r="C85">
        <v>258</v>
      </c>
      <c r="D85" s="2">
        <f t="shared" si="0"/>
        <v>184.33333333333334</v>
      </c>
      <c r="E85" s="2">
        <f t="shared" si="1"/>
        <v>168</v>
      </c>
      <c r="G85" s="1">
        <v>43990</v>
      </c>
      <c r="H85">
        <v>464</v>
      </c>
      <c r="I85">
        <v>7</v>
      </c>
      <c r="J85" s="2">
        <f t="shared" si="2"/>
        <v>6</v>
      </c>
      <c r="K85" s="2">
        <f t="shared" si="3"/>
        <v>10.047619047619049</v>
      </c>
    </row>
    <row r="86" spans="1:11" x14ac:dyDescent="0.25">
      <c r="A86" s="1">
        <v>43986</v>
      </c>
      <c r="B86">
        <v>6686</v>
      </c>
      <c r="C86">
        <v>211</v>
      </c>
      <c r="D86" s="2">
        <f t="shared" si="0"/>
        <v>213.33333333333334</v>
      </c>
      <c r="E86" s="2">
        <f t="shared" si="1"/>
        <v>176.28571428571428</v>
      </c>
      <c r="G86" s="1">
        <v>43991</v>
      </c>
      <c r="H86">
        <v>471</v>
      </c>
      <c r="I86">
        <v>7</v>
      </c>
      <c r="J86" s="2">
        <f t="shared" si="2"/>
        <v>9</v>
      </c>
      <c r="K86" s="2">
        <f t="shared" si="3"/>
        <v>11.571428571428571</v>
      </c>
    </row>
    <row r="87" spans="1:11" x14ac:dyDescent="0.25">
      <c r="A87" s="1">
        <v>43987</v>
      </c>
      <c r="B87">
        <v>6857</v>
      </c>
      <c r="C87">
        <v>171</v>
      </c>
      <c r="D87" s="2">
        <f t="shared" si="0"/>
        <v>199</v>
      </c>
      <c r="E87" s="2">
        <f t="shared" si="1"/>
        <v>170.57142857142858</v>
      </c>
      <c r="G87" s="1">
        <v>43992</v>
      </c>
      <c r="H87">
        <v>484</v>
      </c>
      <c r="I87">
        <v>13</v>
      </c>
      <c r="J87" s="2">
        <f t="shared" si="2"/>
        <v>14</v>
      </c>
      <c r="K87" s="2">
        <f t="shared" si="3"/>
        <v>12.190476190476192</v>
      </c>
    </row>
    <row r="88" spans="1:11" x14ac:dyDescent="0.25">
      <c r="A88" s="1">
        <v>43988</v>
      </c>
      <c r="B88">
        <v>7072</v>
      </c>
      <c r="C88">
        <v>215</v>
      </c>
      <c r="D88" s="2">
        <f t="shared" si="0"/>
        <v>180.66666666666666</v>
      </c>
      <c r="E88" s="2">
        <f t="shared" si="1"/>
        <v>185.57142857142858</v>
      </c>
      <c r="G88" s="1">
        <v>43993</v>
      </c>
      <c r="H88">
        <v>506</v>
      </c>
      <c r="I88">
        <v>22</v>
      </c>
      <c r="J88" s="2">
        <f t="shared" si="2"/>
        <v>16</v>
      </c>
      <c r="K88" s="2">
        <f t="shared" si="3"/>
        <v>13.19047619047619</v>
      </c>
    </row>
    <row r="89" spans="1:11" x14ac:dyDescent="0.25">
      <c r="A89" s="1">
        <v>43989</v>
      </c>
      <c r="B89">
        <v>7228</v>
      </c>
      <c r="C89">
        <v>156</v>
      </c>
      <c r="D89" s="2">
        <f t="shared" si="0"/>
        <v>156.66666666666666</v>
      </c>
      <c r="E89" s="2">
        <f t="shared" si="1"/>
        <v>171.57142857142858</v>
      </c>
      <c r="G89" s="1">
        <v>43994</v>
      </c>
      <c r="H89">
        <v>519</v>
      </c>
      <c r="I89">
        <v>13</v>
      </c>
      <c r="J89" s="2">
        <f t="shared" si="2"/>
        <v>19</v>
      </c>
      <c r="K89" s="2"/>
    </row>
    <row r="90" spans="1:11" x14ac:dyDescent="0.25">
      <c r="A90" s="1">
        <v>43990</v>
      </c>
      <c r="B90">
        <v>7327</v>
      </c>
      <c r="C90">
        <v>99</v>
      </c>
      <c r="D90" s="2">
        <f t="shared" si="0"/>
        <v>148</v>
      </c>
      <c r="E90" s="2">
        <f t="shared" si="1"/>
        <v>171.28571428571428</v>
      </c>
      <c r="G90" s="1">
        <v>43995</v>
      </c>
      <c r="H90">
        <v>541</v>
      </c>
      <c r="I90">
        <v>22</v>
      </c>
      <c r="J90" s="2">
        <f t="shared" si="2"/>
        <v>13</v>
      </c>
    </row>
    <row r="91" spans="1:11" x14ac:dyDescent="0.25">
      <c r="A91" s="1">
        <v>43991</v>
      </c>
      <c r="B91">
        <v>7516</v>
      </c>
      <c r="C91">
        <v>189</v>
      </c>
      <c r="D91" s="2">
        <f t="shared" si="0"/>
        <v>149.33333333333334</v>
      </c>
      <c r="E91" s="2">
        <f t="shared" si="1"/>
        <v>192.85714285714286</v>
      </c>
      <c r="G91" s="1">
        <v>43996</v>
      </c>
      <c r="H91">
        <v>545</v>
      </c>
      <c r="I91">
        <v>4</v>
      </c>
      <c r="J91" s="2">
        <f t="shared" si="2"/>
        <v>15.333333333333334</v>
      </c>
    </row>
    <row r="92" spans="1:11" x14ac:dyDescent="0.25">
      <c r="A92" s="1">
        <v>43992</v>
      </c>
      <c r="B92">
        <v>7676</v>
      </c>
      <c r="C92">
        <v>160</v>
      </c>
      <c r="D92" s="2">
        <f t="shared" si="0"/>
        <v>186</v>
      </c>
      <c r="E92" s="2">
        <f t="shared" si="1"/>
        <v>195.42857142857142</v>
      </c>
      <c r="G92" s="1">
        <v>43997</v>
      </c>
      <c r="H92">
        <v>565</v>
      </c>
      <c r="I92">
        <v>20</v>
      </c>
      <c r="J92" s="2"/>
    </row>
    <row r="93" spans="1:11" x14ac:dyDescent="0.25">
      <c r="A93" s="1">
        <v>43993</v>
      </c>
      <c r="B93">
        <v>7885</v>
      </c>
      <c r="C93">
        <v>209</v>
      </c>
      <c r="D93" s="2">
        <f t="shared" si="0"/>
        <v>230.33333333333334</v>
      </c>
      <c r="E93" s="2">
        <f t="shared" si="1"/>
        <v>229</v>
      </c>
    </row>
    <row r="94" spans="1:11" x14ac:dyDescent="0.25">
      <c r="A94" s="1">
        <v>43994</v>
      </c>
      <c r="B94">
        <v>8207</v>
      </c>
      <c r="C94">
        <v>322</v>
      </c>
      <c r="D94" s="2">
        <f t="shared" si="0"/>
        <v>254.66666666666666</v>
      </c>
      <c r="E94" s="2">
        <f>AVERAGE(C91:C97)</f>
        <v>240.85714285714286</v>
      </c>
    </row>
    <row r="95" spans="1:11" x14ac:dyDescent="0.25">
      <c r="A95" s="1">
        <v>43995</v>
      </c>
      <c r="B95">
        <v>8440</v>
      </c>
      <c r="C95">
        <v>233</v>
      </c>
      <c r="D95" s="2">
        <f t="shared" si="0"/>
        <v>315.33333333333331</v>
      </c>
    </row>
    <row r="96" spans="1:11" x14ac:dyDescent="0.25">
      <c r="A96" s="1">
        <v>43996</v>
      </c>
      <c r="B96">
        <v>8831</v>
      </c>
      <c r="C96">
        <v>391</v>
      </c>
      <c r="D96" s="2">
        <f>AVERAGE(C95:C97)</f>
        <v>268.66666666666669</v>
      </c>
    </row>
    <row r="97" spans="1:21" x14ac:dyDescent="0.25">
      <c r="A97" s="1">
        <v>43997</v>
      </c>
      <c r="B97">
        <v>9013</v>
      </c>
      <c r="C97">
        <v>182</v>
      </c>
    </row>
    <row r="99" spans="1:21" x14ac:dyDescent="0.25">
      <c r="N99" t="s">
        <v>0</v>
      </c>
    </row>
    <row r="104" spans="1:21" x14ac:dyDescent="0.25">
      <c r="U104" t="s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Kurt Pessa</dc:creator>
  <cp:lastModifiedBy>Kurt Pessa</cp:lastModifiedBy>
  <dcterms:created xsi:type="dcterms:W3CDTF">2015-06-05T18:17:20Z</dcterms:created>
  <dcterms:modified xsi:type="dcterms:W3CDTF">2020-06-16T21:26:13Z</dcterms:modified>
</cp:coreProperties>
</file>